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su-my.sharepoint.com/personal/abhisena_nus_edu_sg/Documents/Documents/singapore_dengue_vaccination/code/data/"/>
    </mc:Choice>
  </mc:AlternateContent>
  <xr:revisionPtr revIDLastSave="1079" documentId="8_{AC66D556-D073-4D76-80B9-0749CD3E29DA}" xr6:coauthVersionLast="47" xr6:coauthVersionMax="47" xr10:uidLastSave="{BA758BE7-7BAA-4FBC-80C9-ECDE9CC998E5}"/>
  <bookViews>
    <workbookView xWindow="14295" yWindow="0" windowWidth="14610" windowHeight="15585" tabRatio="777" firstSheet="1" activeTab="2" xr2:uid="{33AD2143-A165-44FE-A68A-6CDCDF4A9EDB}"/>
  </bookViews>
  <sheets>
    <sheet name="sero_share" sheetId="1" r:id="rId1"/>
    <sheet name="age_case_2014_20" sheetId="2" r:id="rId2"/>
    <sheet name="age_hosp_frac_2003_17" sheetId="7" r:id="rId3"/>
    <sheet name="hosp_frac_2003_17year" sheetId="8" r:id="rId4"/>
    <sheet name="avg_age_inc_2014_20" sheetId="6" r:id="rId5"/>
    <sheet name="age_case_2001_13" sheetId="3" r:id="rId6"/>
    <sheet name="yearly_reported_cases" sheetId="4" r:id="rId7"/>
    <sheet name="imported_cas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 a="1"/>
  <c r="A2" i="7" s="1"/>
  <c r="A2" i="8" a="1"/>
  <c r="A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<sst xmlns="http://schemas.openxmlformats.org/spreadsheetml/2006/main" count="60" uniqueCount="27">
  <si>
    <t>year</t>
  </si>
  <si>
    <t>D1</t>
  </si>
  <si>
    <t>D2</t>
  </si>
  <si>
    <t xml:space="preserve">D3 </t>
  </si>
  <si>
    <t>D4</t>
  </si>
  <si>
    <t>0-4y</t>
  </si>
  <si>
    <t>5-14y</t>
  </si>
  <si>
    <t>15-24y</t>
  </si>
  <si>
    <t>25-34y</t>
  </si>
  <si>
    <t>35-44y</t>
  </si>
  <si>
    <t>45-54y</t>
  </si>
  <si>
    <t>55-64y</t>
  </si>
  <si>
    <t>65+y</t>
  </si>
  <si>
    <t>0-4y_inc_p_100k</t>
  </si>
  <si>
    <t>5-14y_inc_p_100k</t>
  </si>
  <si>
    <t>15-24y_inc_p_100k</t>
  </si>
  <si>
    <t>25-34y_inc_p_100k</t>
  </si>
  <si>
    <t>35-44y_inc_p_100k</t>
  </si>
  <si>
    <t>45-54y_inc_p_100k</t>
  </si>
  <si>
    <t>55-64y_inc_p_100k</t>
  </si>
  <si>
    <t>65+y_inc_p_100k</t>
  </si>
  <si>
    <t>55+y</t>
  </si>
  <si>
    <t>55+y_inc_p_100k</t>
  </si>
  <si>
    <t>cases_p_100k</t>
  </si>
  <si>
    <t>n_import</t>
  </si>
  <si>
    <t>0-14y</t>
  </si>
  <si>
    <t>hosp_rate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</si>
</sst>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rgb="FFCCCCCC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rgb="FF2D2D2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50DCC-966E-4BC4-9420-8925A7243B4C}">
  <dimension ref="A1:E30"/>
  <sheetViews>
    <sheetView topLeftCell="A4" workbookViewId="0">
      <selection activeCell="J23" sqref="J23"/>
    </sheetView>
  </sheetViews>
  <sheetFormatPr defaultRowHeight="15" x14ac:dyDescent="0.25"/>
  <cols>
    <col min="1" max="1" width="6.28515625" customWidth="1"/>
    <col min="2" max="2" width="12.7109375" customWidth="1"/>
    <col min="3" max="3" width="13" customWidth="1"/>
    <col min="4" max="4" width="11.5703125" customWidth="1"/>
    <col min="5" max="5" width="11.7109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1994</v>
      </c>
      <c r="B2">
        <v>17.690000000000001</v>
      </c>
      <c r="C2">
        <v>36.590000000000003</v>
      </c>
      <c r="D2">
        <v>45.72</v>
      </c>
      <c r="E2">
        <v>0</v>
      </c>
    </row>
    <row r="3" spans="1:5" x14ac:dyDescent="0.25">
      <c r="A3">
        <v>1995</v>
      </c>
      <c r="B3">
        <v>43.95</v>
      </c>
      <c r="C3">
        <v>18.59</v>
      </c>
      <c r="D3">
        <v>37.46</v>
      </c>
      <c r="E3">
        <v>0</v>
      </c>
    </row>
    <row r="4" spans="1:5" x14ac:dyDescent="0.25">
      <c r="A4">
        <v>1996</v>
      </c>
      <c r="B4">
        <v>52.21</v>
      </c>
      <c r="C4">
        <v>26.55</v>
      </c>
      <c r="D4">
        <v>10.91</v>
      </c>
      <c r="E4">
        <v>10.33</v>
      </c>
    </row>
    <row r="5" spans="1:5" x14ac:dyDescent="0.25">
      <c r="A5">
        <v>1997</v>
      </c>
      <c r="B5">
        <v>52.31</v>
      </c>
      <c r="C5">
        <v>44.69</v>
      </c>
      <c r="D5">
        <v>0</v>
      </c>
      <c r="E5">
        <v>3</v>
      </c>
    </row>
    <row r="6" spans="1:5" x14ac:dyDescent="0.25">
      <c r="A6">
        <v>1998</v>
      </c>
      <c r="B6">
        <v>34.51</v>
      </c>
      <c r="C6">
        <v>56.64</v>
      </c>
      <c r="D6">
        <v>8.85</v>
      </c>
      <c r="E6">
        <v>0</v>
      </c>
    </row>
    <row r="7" spans="1:5" x14ac:dyDescent="0.25">
      <c r="A7">
        <v>1999</v>
      </c>
      <c r="B7">
        <v>51.91</v>
      </c>
      <c r="C7">
        <v>38.94</v>
      </c>
      <c r="D7">
        <v>9.15</v>
      </c>
      <c r="E7">
        <v>0</v>
      </c>
    </row>
    <row r="8" spans="1:5" x14ac:dyDescent="0.25">
      <c r="A8">
        <v>2000</v>
      </c>
      <c r="B8">
        <v>36.090000000000003</v>
      </c>
      <c r="C8">
        <v>36.18</v>
      </c>
      <c r="D8">
        <v>9.14</v>
      </c>
      <c r="E8">
        <v>18.59</v>
      </c>
    </row>
    <row r="9" spans="1:5" x14ac:dyDescent="0.25">
      <c r="A9">
        <v>2001</v>
      </c>
      <c r="B9">
        <v>5.6</v>
      </c>
      <c r="C9">
        <v>81.12</v>
      </c>
      <c r="D9">
        <v>0</v>
      </c>
      <c r="E9">
        <v>13.28</v>
      </c>
    </row>
    <row r="10" spans="1:5" x14ac:dyDescent="0.25">
      <c r="A10">
        <v>2002</v>
      </c>
      <c r="B10">
        <v>30.09</v>
      </c>
      <c r="C10">
        <v>54.57</v>
      </c>
      <c r="D10">
        <v>3.54</v>
      </c>
      <c r="E10">
        <v>11.8</v>
      </c>
    </row>
    <row r="11" spans="1:5" x14ac:dyDescent="0.25">
      <c r="A11">
        <v>2003</v>
      </c>
      <c r="B11">
        <v>8.26</v>
      </c>
      <c r="C11">
        <v>81.41</v>
      </c>
      <c r="D11">
        <v>4.72</v>
      </c>
      <c r="E11">
        <v>5.61</v>
      </c>
    </row>
    <row r="12" spans="1:5" x14ac:dyDescent="0.25">
      <c r="A12">
        <v>2004</v>
      </c>
      <c r="B12">
        <v>66.37</v>
      </c>
      <c r="C12">
        <v>28.32</v>
      </c>
      <c r="D12">
        <v>2.65</v>
      </c>
      <c r="E12">
        <v>2.66</v>
      </c>
    </row>
    <row r="13" spans="1:5" x14ac:dyDescent="0.25">
      <c r="A13">
        <v>2005</v>
      </c>
      <c r="B13">
        <v>70.790000000000006</v>
      </c>
      <c r="C13">
        <v>9.74</v>
      </c>
      <c r="D13">
        <v>18.579999999999998</v>
      </c>
      <c r="E13">
        <v>0.89</v>
      </c>
    </row>
    <row r="14" spans="1:5" x14ac:dyDescent="0.25">
      <c r="A14">
        <v>2006</v>
      </c>
      <c r="B14">
        <v>82.89</v>
      </c>
      <c r="C14">
        <v>7.08</v>
      </c>
      <c r="D14">
        <v>6.49</v>
      </c>
      <c r="E14">
        <v>3.54</v>
      </c>
    </row>
    <row r="15" spans="1:5" x14ac:dyDescent="0.25">
      <c r="A15">
        <v>2007</v>
      </c>
      <c r="B15">
        <v>5.31</v>
      </c>
      <c r="C15">
        <v>89.38</v>
      </c>
      <c r="D15">
        <v>4.13</v>
      </c>
      <c r="E15">
        <v>1.18</v>
      </c>
    </row>
    <row r="16" spans="1:5" x14ac:dyDescent="0.25">
      <c r="A16">
        <v>2008</v>
      </c>
      <c r="B16">
        <v>23.59</v>
      </c>
      <c r="C16">
        <v>65.489999999999995</v>
      </c>
      <c r="D16">
        <v>9.44</v>
      </c>
      <c r="E16">
        <v>1.48</v>
      </c>
    </row>
    <row r="17" spans="1:5" x14ac:dyDescent="0.25">
      <c r="A17">
        <v>2009</v>
      </c>
      <c r="B17">
        <v>18.28</v>
      </c>
      <c r="C17">
        <v>54.87</v>
      </c>
      <c r="D17">
        <v>20.059999999999999</v>
      </c>
      <c r="E17">
        <v>6.79</v>
      </c>
    </row>
    <row r="18" spans="1:5" x14ac:dyDescent="0.25">
      <c r="A18">
        <v>2010</v>
      </c>
      <c r="B18">
        <v>15.33</v>
      </c>
      <c r="C18">
        <v>74.05</v>
      </c>
      <c r="D18">
        <v>6.49</v>
      </c>
      <c r="E18">
        <v>4.13</v>
      </c>
    </row>
    <row r="19" spans="1:5" x14ac:dyDescent="0.25">
      <c r="A19">
        <v>2011</v>
      </c>
      <c r="B19">
        <v>10.02</v>
      </c>
      <c r="C19">
        <v>77.290000000000006</v>
      </c>
      <c r="D19">
        <v>8.56</v>
      </c>
      <c r="E19">
        <v>4.13</v>
      </c>
    </row>
    <row r="20" spans="1:5" x14ac:dyDescent="0.25">
      <c r="A20">
        <v>2012</v>
      </c>
      <c r="B20">
        <v>18.87</v>
      </c>
      <c r="C20">
        <v>74.34</v>
      </c>
      <c r="D20">
        <v>5.61</v>
      </c>
      <c r="E20">
        <v>1.18</v>
      </c>
    </row>
    <row r="21" spans="1:5" x14ac:dyDescent="0.25">
      <c r="A21">
        <v>2013</v>
      </c>
      <c r="B21">
        <v>61.65</v>
      </c>
      <c r="C21">
        <v>24.48</v>
      </c>
      <c r="D21">
        <v>11.51</v>
      </c>
      <c r="E21">
        <v>2.36</v>
      </c>
    </row>
    <row r="22" spans="1:5" x14ac:dyDescent="0.25">
      <c r="A22">
        <v>2014</v>
      </c>
      <c r="B22">
        <v>79.05</v>
      </c>
      <c r="C22">
        <v>18.88</v>
      </c>
      <c r="D22">
        <v>1.85</v>
      </c>
      <c r="E22">
        <v>0.22</v>
      </c>
    </row>
    <row r="23" spans="1:5" x14ac:dyDescent="0.25">
      <c r="A23">
        <v>2015</v>
      </c>
      <c r="B23">
        <v>42.47</v>
      </c>
      <c r="C23">
        <v>45.43</v>
      </c>
      <c r="D23">
        <v>10.62</v>
      </c>
      <c r="E23">
        <v>1.48</v>
      </c>
    </row>
    <row r="24" spans="1:5" x14ac:dyDescent="0.25">
      <c r="A24">
        <v>2016</v>
      </c>
      <c r="B24">
        <v>28.02</v>
      </c>
      <c r="C24">
        <v>52.21</v>
      </c>
      <c r="D24">
        <v>18</v>
      </c>
      <c r="E24">
        <v>1.77</v>
      </c>
    </row>
    <row r="25" spans="1:5" x14ac:dyDescent="0.25">
      <c r="A25">
        <v>2017</v>
      </c>
      <c r="B25">
        <v>20.350000000000001</v>
      </c>
      <c r="C25">
        <v>46.31</v>
      </c>
      <c r="D25">
        <v>23.31</v>
      </c>
      <c r="E25">
        <v>10.029999999999999</v>
      </c>
    </row>
    <row r="26" spans="1:5" x14ac:dyDescent="0.25">
      <c r="A26">
        <v>2018</v>
      </c>
      <c r="B26">
        <v>18.87</v>
      </c>
      <c r="C26">
        <v>52.51</v>
      </c>
      <c r="D26">
        <v>24.49</v>
      </c>
      <c r="E26">
        <v>4.13</v>
      </c>
    </row>
    <row r="27" spans="1:5" x14ac:dyDescent="0.25">
      <c r="A27">
        <v>2019</v>
      </c>
      <c r="B27">
        <v>3.53</v>
      </c>
      <c r="C27">
        <v>64.31</v>
      </c>
      <c r="D27">
        <v>24.49</v>
      </c>
      <c r="E27">
        <v>7.67</v>
      </c>
    </row>
    <row r="28" spans="1:5" x14ac:dyDescent="0.25">
      <c r="A28">
        <v>2020</v>
      </c>
      <c r="B28">
        <v>4.12</v>
      </c>
      <c r="C28">
        <v>45.73</v>
      </c>
      <c r="D28">
        <v>37.17</v>
      </c>
      <c r="E28">
        <v>12.98</v>
      </c>
    </row>
    <row r="29" spans="1:5" x14ac:dyDescent="0.25">
      <c r="A29">
        <v>2021</v>
      </c>
      <c r="B29">
        <v>0.19</v>
      </c>
      <c r="C29">
        <v>29.05</v>
      </c>
      <c r="D29">
        <v>57.88</v>
      </c>
      <c r="E29">
        <v>12.88</v>
      </c>
    </row>
    <row r="30" spans="1:5" x14ac:dyDescent="0.25">
      <c r="A30">
        <v>2022</v>
      </c>
      <c r="B30">
        <v>2.2799999999999998</v>
      </c>
      <c r="C30">
        <v>13.26</v>
      </c>
      <c r="D30">
        <v>82.4</v>
      </c>
      <c r="E30">
        <v>2.06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5CA75-A5B7-45F7-8FDC-D3F6B36D8B2D}">
  <dimension ref="A1:Q27"/>
  <sheetViews>
    <sheetView zoomScale="80" zoomScaleNormal="80" workbookViewId="0">
      <selection activeCell="Q2" sqref="Q2:Q8"/>
    </sheetView>
  </sheetViews>
  <sheetFormatPr defaultRowHeight="15" x14ac:dyDescent="0.25"/>
  <cols>
    <col min="8" max="8" width="7.42578125" customWidth="1"/>
    <col min="9" max="9" width="8.140625" customWidth="1"/>
    <col min="10" max="10" width="19.7109375" customWidth="1"/>
    <col min="11" max="11" width="26" customWidth="1"/>
    <col min="15" max="15" width="18.7109375" customWidth="1"/>
    <col min="16" max="16" width="14.28515625" customWidth="1"/>
    <col min="17" max="17" width="15.7109375" customWidth="1"/>
  </cols>
  <sheetData>
    <row r="1" spans="1:17" x14ac:dyDescent="0.2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</row>
    <row r="2" spans="1:17" x14ac:dyDescent="0.25">
      <c r="A2">
        <v>2014</v>
      </c>
      <c r="B2">
        <v>181</v>
      </c>
      <c r="C2">
        <v>1165</v>
      </c>
      <c r="D2">
        <v>3169</v>
      </c>
      <c r="E2">
        <v>4971</v>
      </c>
      <c r="F2">
        <v>3789</v>
      </c>
      <c r="G2">
        <v>2384</v>
      </c>
      <c r="H2">
        <v>1256</v>
      </c>
      <c r="I2">
        <v>897</v>
      </c>
      <c r="J2">
        <v>80.5</v>
      </c>
      <c r="K2">
        <v>244.2</v>
      </c>
      <c r="L2">
        <v>415.3</v>
      </c>
      <c r="M2">
        <v>399.9</v>
      </c>
      <c r="N2">
        <v>389.2</v>
      </c>
      <c r="O2">
        <v>321.3</v>
      </c>
      <c r="P2">
        <v>220.3</v>
      </c>
      <c r="Q2">
        <v>188.4</v>
      </c>
    </row>
    <row r="3" spans="1:17" x14ac:dyDescent="0.25">
      <c r="A3">
        <v>2015</v>
      </c>
      <c r="B3">
        <v>96</v>
      </c>
      <c r="C3">
        <v>625</v>
      </c>
      <c r="D3">
        <v>1792</v>
      </c>
      <c r="E3">
        <v>2916</v>
      </c>
      <c r="F3">
        <v>2184</v>
      </c>
      <c r="G3">
        <v>1508</v>
      </c>
      <c r="H3">
        <v>1012</v>
      </c>
      <c r="I3">
        <v>723</v>
      </c>
      <c r="J3">
        <v>42.1</v>
      </c>
      <c r="K3">
        <v>132.30000000000001</v>
      </c>
      <c r="L3">
        <v>238.4</v>
      </c>
      <c r="M3">
        <v>232.3</v>
      </c>
      <c r="N3">
        <v>221.2</v>
      </c>
      <c r="O3">
        <v>201.7</v>
      </c>
      <c r="P3">
        <v>172.5</v>
      </c>
      <c r="Q3">
        <v>142.80000000000001</v>
      </c>
    </row>
    <row r="4" spans="1:17" x14ac:dyDescent="0.25">
      <c r="A4">
        <v>2016</v>
      </c>
      <c r="B4">
        <v>113</v>
      </c>
      <c r="C4">
        <v>760</v>
      </c>
      <c r="D4">
        <v>2046</v>
      </c>
      <c r="E4">
        <v>3338</v>
      </c>
      <c r="F4">
        <v>2651</v>
      </c>
      <c r="G4">
        <v>1864</v>
      </c>
      <c r="H4">
        <v>1176</v>
      </c>
      <c r="I4">
        <v>900</v>
      </c>
      <c r="J4">
        <v>48.5</v>
      </c>
      <c r="K4">
        <v>163.4</v>
      </c>
      <c r="L4">
        <v>275.7</v>
      </c>
      <c r="M4">
        <v>263.3</v>
      </c>
      <c r="N4">
        <v>264.39999999999998</v>
      </c>
      <c r="O4">
        <v>246.2</v>
      </c>
      <c r="P4">
        <v>194.9</v>
      </c>
      <c r="Q4">
        <v>167.7</v>
      </c>
    </row>
    <row r="5" spans="1:17" x14ac:dyDescent="0.25">
      <c r="A5">
        <v>2017</v>
      </c>
      <c r="B5">
        <v>27</v>
      </c>
      <c r="C5">
        <v>123</v>
      </c>
      <c r="D5">
        <v>313</v>
      </c>
      <c r="E5">
        <v>620</v>
      </c>
      <c r="F5">
        <v>459</v>
      </c>
      <c r="G5">
        <v>352</v>
      </c>
      <c r="H5">
        <v>296</v>
      </c>
      <c r="I5">
        <v>328</v>
      </c>
      <c r="J5">
        <v>12.3</v>
      </c>
      <c r="K5">
        <v>24.8</v>
      </c>
      <c r="L5">
        <v>43.3</v>
      </c>
      <c r="M5">
        <v>48.8</v>
      </c>
      <c r="N5">
        <v>49.6</v>
      </c>
      <c r="O5">
        <v>46.7</v>
      </c>
      <c r="P5">
        <v>47.3</v>
      </c>
      <c r="Q5">
        <v>59</v>
      </c>
    </row>
    <row r="6" spans="1:17" x14ac:dyDescent="0.25">
      <c r="A6">
        <v>2018</v>
      </c>
      <c r="B6">
        <v>44</v>
      </c>
      <c r="C6">
        <v>166</v>
      </c>
      <c r="D6">
        <v>419</v>
      </c>
      <c r="E6">
        <v>684</v>
      </c>
      <c r="F6">
        <v>557</v>
      </c>
      <c r="G6">
        <v>464</v>
      </c>
      <c r="H6">
        <v>367</v>
      </c>
      <c r="I6">
        <v>367</v>
      </c>
      <c r="J6">
        <v>21</v>
      </c>
      <c r="K6">
        <v>37.200000000000003</v>
      </c>
      <c r="L6">
        <v>64.5</v>
      </c>
      <c r="M6">
        <v>64.400000000000006</v>
      </c>
      <c r="N6">
        <v>60.8</v>
      </c>
      <c r="O6">
        <v>64.900000000000006</v>
      </c>
      <c r="P6">
        <v>56.8</v>
      </c>
      <c r="Q6">
        <v>63.5</v>
      </c>
    </row>
    <row r="7" spans="1:17" x14ac:dyDescent="0.25">
      <c r="A7">
        <v>2019</v>
      </c>
      <c r="B7">
        <v>131</v>
      </c>
      <c r="C7">
        <v>864</v>
      </c>
      <c r="D7">
        <v>2104</v>
      </c>
      <c r="E7">
        <v>3309</v>
      </c>
      <c r="F7">
        <v>2761</v>
      </c>
      <c r="G7">
        <v>2473</v>
      </c>
      <c r="H7">
        <v>2024</v>
      </c>
      <c r="I7">
        <v>1945</v>
      </c>
      <c r="J7">
        <v>56.1</v>
      </c>
      <c r="K7">
        <v>185.4</v>
      </c>
      <c r="L7">
        <v>362.6</v>
      </c>
      <c r="M7">
        <v>302.89999999999998</v>
      </c>
      <c r="N7">
        <v>293.89999999999998</v>
      </c>
      <c r="O7">
        <v>331.3</v>
      </c>
      <c r="P7">
        <v>325.5</v>
      </c>
      <c r="Q7">
        <v>317.5</v>
      </c>
    </row>
    <row r="8" spans="1:17" x14ac:dyDescent="0.25">
      <c r="A8">
        <v>2020</v>
      </c>
      <c r="B8">
        <v>216</v>
      </c>
      <c r="C8">
        <v>2032</v>
      </c>
      <c r="D8">
        <v>4180</v>
      </c>
      <c r="E8">
        <v>7816</v>
      </c>
      <c r="F8">
        <v>6792</v>
      </c>
      <c r="G8">
        <v>5687</v>
      </c>
      <c r="H8">
        <v>4340</v>
      </c>
      <c r="I8">
        <v>4106</v>
      </c>
      <c r="J8">
        <v>97.8</v>
      </c>
      <c r="K8">
        <v>431.7</v>
      </c>
      <c r="L8">
        <v>697.7</v>
      </c>
      <c r="M8">
        <v>661.1</v>
      </c>
      <c r="N8">
        <v>654.6</v>
      </c>
      <c r="O8">
        <v>727.7</v>
      </c>
      <c r="P8">
        <v>685.6</v>
      </c>
      <c r="Q8">
        <v>637.1</v>
      </c>
    </row>
    <row r="27" spans="3:3" x14ac:dyDescent="0.25">
      <c r="C27" s="1"/>
    </row>
  </sheetData>
  <sortState xmlns:xlrd2="http://schemas.microsoft.com/office/spreadsheetml/2017/richdata2" ref="A2:Q8">
    <sortCondition ref="A2:A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E31-0A87-4B65-9FC1-B362CFEE492A}">
  <dimension ref="A1:H16"/>
  <sheetViews>
    <sheetView tabSelected="1" workbookViewId="0">
      <selection activeCell="K28" sqref="K28"/>
    </sheetView>
  </sheetViews>
  <sheetFormatPr defaultRowHeight="15" x14ac:dyDescent="0.25"/>
  <sheetData>
    <row r="1" spans="1:8" x14ac:dyDescent="0.25">
      <c r="A1" t="s">
        <v>0</v>
      </c>
      <c r="B1" t="s">
        <v>25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1:8" x14ac:dyDescent="0.25">
      <c r="A2" cm="1">
        <f t="array" ref="A2:A16">_xlfn.SEQUENCE(15,1,2003,1)</f>
        <v>2003</v>
      </c>
      <c r="B2">
        <v>87.6</v>
      </c>
      <c r="C2">
        <v>97.4</v>
      </c>
      <c r="D2">
        <v>96.2</v>
      </c>
      <c r="E2">
        <v>100</v>
      </c>
      <c r="F2">
        <v>100</v>
      </c>
      <c r="G2">
        <v>100</v>
      </c>
      <c r="H2">
        <v>100</v>
      </c>
    </row>
    <row r="3" spans="1:8" x14ac:dyDescent="0.25">
      <c r="A3">
        <v>2004</v>
      </c>
      <c r="B3">
        <v>77.7</v>
      </c>
      <c r="C3">
        <v>89.2</v>
      </c>
      <c r="D3">
        <v>84.5</v>
      </c>
      <c r="E3">
        <v>89.3</v>
      </c>
      <c r="F3">
        <v>100</v>
      </c>
      <c r="G3">
        <v>100</v>
      </c>
      <c r="H3">
        <v>99.4</v>
      </c>
    </row>
    <row r="4" spans="1:8" x14ac:dyDescent="0.25">
      <c r="A4">
        <v>2005</v>
      </c>
      <c r="B4">
        <v>83.4</v>
      </c>
      <c r="C4">
        <v>100</v>
      </c>
      <c r="D4">
        <v>96.1</v>
      </c>
      <c r="E4">
        <v>97.3</v>
      </c>
      <c r="F4">
        <v>100</v>
      </c>
      <c r="G4">
        <v>100</v>
      </c>
      <c r="H4">
        <v>100</v>
      </c>
    </row>
    <row r="5" spans="1:8" x14ac:dyDescent="0.25">
      <c r="A5">
        <v>2006</v>
      </c>
      <c r="B5">
        <v>81</v>
      </c>
      <c r="C5">
        <v>86.9</v>
      </c>
      <c r="D5">
        <v>77.2</v>
      </c>
      <c r="E5">
        <v>80.900000000000006</v>
      </c>
      <c r="F5">
        <v>81.3</v>
      </c>
      <c r="G5">
        <v>60.7</v>
      </c>
      <c r="H5">
        <v>35.299999999999997</v>
      </c>
    </row>
    <row r="6" spans="1:8" x14ac:dyDescent="0.25">
      <c r="A6">
        <v>2007</v>
      </c>
      <c r="B6">
        <v>44</v>
      </c>
      <c r="C6">
        <v>55.9</v>
      </c>
      <c r="D6">
        <v>56.5</v>
      </c>
      <c r="E6">
        <v>59.3</v>
      </c>
      <c r="F6">
        <v>67.7</v>
      </c>
      <c r="G6">
        <v>69.7</v>
      </c>
      <c r="H6">
        <v>50.4</v>
      </c>
    </row>
    <row r="7" spans="1:8" x14ac:dyDescent="0.25">
      <c r="A7">
        <v>2008</v>
      </c>
      <c r="B7">
        <v>46.7</v>
      </c>
      <c r="C7">
        <v>45.9</v>
      </c>
      <c r="D7">
        <v>42.7</v>
      </c>
      <c r="E7">
        <v>48.1</v>
      </c>
      <c r="F7">
        <v>55</v>
      </c>
      <c r="G7">
        <v>56.7</v>
      </c>
      <c r="H7">
        <v>40</v>
      </c>
    </row>
    <row r="8" spans="1:8" x14ac:dyDescent="0.25">
      <c r="A8">
        <v>2009</v>
      </c>
      <c r="B8">
        <v>50.7</v>
      </c>
      <c r="C8">
        <v>46.5</v>
      </c>
      <c r="D8">
        <v>44.9</v>
      </c>
      <c r="E8">
        <v>53.8</v>
      </c>
      <c r="F8">
        <v>57.1</v>
      </c>
      <c r="G8">
        <v>58.7</v>
      </c>
      <c r="H8">
        <v>49.9</v>
      </c>
    </row>
    <row r="9" spans="1:8" x14ac:dyDescent="0.25">
      <c r="A9">
        <v>2010</v>
      </c>
      <c r="B9">
        <v>46.4</v>
      </c>
      <c r="C9">
        <v>44.6</v>
      </c>
      <c r="D9">
        <v>43.2</v>
      </c>
      <c r="E9">
        <v>44.6</v>
      </c>
      <c r="F9">
        <v>58.2</v>
      </c>
      <c r="G9">
        <v>59.6</v>
      </c>
      <c r="H9">
        <v>52.8</v>
      </c>
    </row>
    <row r="10" spans="1:8" x14ac:dyDescent="0.25">
      <c r="A10">
        <v>2011</v>
      </c>
      <c r="B10">
        <v>41.8</v>
      </c>
      <c r="C10">
        <v>40.299999999999997</v>
      </c>
      <c r="D10">
        <v>36.299999999999997</v>
      </c>
      <c r="E10">
        <v>41.1</v>
      </c>
      <c r="F10">
        <v>49.3</v>
      </c>
      <c r="G10">
        <v>56.7</v>
      </c>
      <c r="H10">
        <v>45.4</v>
      </c>
    </row>
    <row r="11" spans="1:8" x14ac:dyDescent="0.25">
      <c r="A11">
        <v>2012</v>
      </c>
      <c r="B11">
        <v>41</v>
      </c>
      <c r="C11">
        <v>37.700000000000003</v>
      </c>
      <c r="D11">
        <v>34.5</v>
      </c>
      <c r="E11">
        <v>43.7</v>
      </c>
      <c r="F11">
        <v>47.7</v>
      </c>
      <c r="G11">
        <v>55.1</v>
      </c>
      <c r="H11">
        <v>45.3</v>
      </c>
    </row>
    <row r="12" spans="1:8" x14ac:dyDescent="0.25">
      <c r="A12">
        <v>2013</v>
      </c>
      <c r="B12">
        <v>33.799999999999997</v>
      </c>
      <c r="C12">
        <v>27.9</v>
      </c>
      <c r="D12">
        <v>24.1</v>
      </c>
      <c r="E12">
        <v>29.1</v>
      </c>
      <c r="F12">
        <v>38.5</v>
      </c>
      <c r="G12">
        <v>46.5</v>
      </c>
      <c r="H12">
        <v>49.4</v>
      </c>
    </row>
    <row r="13" spans="1:8" x14ac:dyDescent="0.25">
      <c r="A13">
        <v>2014</v>
      </c>
      <c r="B13">
        <v>27.5</v>
      </c>
      <c r="C13">
        <v>20.8</v>
      </c>
      <c r="D13">
        <v>19.899999999999999</v>
      </c>
      <c r="E13">
        <v>22.4</v>
      </c>
      <c r="F13">
        <v>29.6</v>
      </c>
      <c r="G13">
        <v>43.8</v>
      </c>
      <c r="H13">
        <v>48.1</v>
      </c>
    </row>
    <row r="14" spans="1:8" x14ac:dyDescent="0.25">
      <c r="A14">
        <v>2015</v>
      </c>
      <c r="B14">
        <v>31.9</v>
      </c>
      <c r="C14">
        <v>22.9</v>
      </c>
      <c r="D14">
        <v>22.7</v>
      </c>
      <c r="E14">
        <v>26.1</v>
      </c>
      <c r="F14">
        <v>36.4</v>
      </c>
      <c r="G14">
        <v>42.7</v>
      </c>
      <c r="H14">
        <v>55.4</v>
      </c>
    </row>
    <row r="15" spans="1:8" x14ac:dyDescent="0.25">
      <c r="A15">
        <v>2016</v>
      </c>
      <c r="B15">
        <v>25.6</v>
      </c>
      <c r="C15">
        <v>21.8</v>
      </c>
      <c r="D15">
        <v>20.399999999999999</v>
      </c>
      <c r="E15">
        <v>25.9</v>
      </c>
      <c r="F15">
        <v>32.5</v>
      </c>
      <c r="G15">
        <v>45.4</v>
      </c>
      <c r="H15">
        <v>55.4</v>
      </c>
    </row>
    <row r="16" spans="1:8" x14ac:dyDescent="0.25">
      <c r="A16">
        <v>2017</v>
      </c>
      <c r="B16">
        <v>30.6</v>
      </c>
      <c r="C16">
        <v>32.6</v>
      </c>
      <c r="D16">
        <v>27.3</v>
      </c>
      <c r="E16">
        <v>34.9</v>
      </c>
      <c r="F16">
        <v>38.5</v>
      </c>
      <c r="G16">
        <v>46.9</v>
      </c>
      <c r="H16">
        <v>47.2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46EE-C14B-43C6-99FC-7D6495B125D2}">
  <dimension ref="A1:B16"/>
  <sheetViews>
    <sheetView workbookViewId="0">
      <selection activeCell="I15" sqref="I15"/>
    </sheetView>
  </sheetViews>
  <sheetFormatPr defaultRowHeight="15" x14ac:dyDescent="0.25"/>
  <sheetData>
    <row r="1" spans="1:2" x14ac:dyDescent="0.25">
      <c r="A1" t="s">
        <v>0</v>
      </c>
      <c r="B1" t="s">
        <v>26</v>
      </c>
    </row>
    <row r="2" spans="1:2" x14ac:dyDescent="0.25">
      <c r="A2" cm="1">
        <f t="array" ref="A2:A16">_xlfn.SEQUENCE(15,1,2003,1)</f>
        <v>2003</v>
      </c>
      <c r="B2">
        <v>97.3</v>
      </c>
    </row>
    <row r="3" spans="1:2" x14ac:dyDescent="0.25">
      <c r="A3">
        <v>2004</v>
      </c>
      <c r="B3">
        <v>88.8</v>
      </c>
    </row>
    <row r="4" spans="1:2" x14ac:dyDescent="0.25">
      <c r="A4">
        <v>2005</v>
      </c>
      <c r="B4">
        <v>96.3</v>
      </c>
    </row>
    <row r="5" spans="1:2" x14ac:dyDescent="0.25">
      <c r="A5">
        <v>2006</v>
      </c>
      <c r="B5">
        <v>72.599999999999994</v>
      </c>
    </row>
    <row r="6" spans="1:2" x14ac:dyDescent="0.25">
      <c r="A6">
        <v>2007</v>
      </c>
      <c r="B6">
        <v>58.1</v>
      </c>
    </row>
    <row r="7" spans="1:2" x14ac:dyDescent="0.25">
      <c r="A7">
        <v>2008</v>
      </c>
      <c r="B7">
        <v>47</v>
      </c>
    </row>
    <row r="8" spans="1:2" x14ac:dyDescent="0.25">
      <c r="A8">
        <v>2009</v>
      </c>
      <c r="B8">
        <v>50.6</v>
      </c>
    </row>
    <row r="9" spans="1:2" x14ac:dyDescent="0.25">
      <c r="A9">
        <v>2010</v>
      </c>
      <c r="B9">
        <v>47.9</v>
      </c>
    </row>
    <row r="10" spans="1:2" x14ac:dyDescent="0.25">
      <c r="A10">
        <v>2011</v>
      </c>
      <c r="B10">
        <v>43</v>
      </c>
    </row>
    <row r="11" spans="1:2" x14ac:dyDescent="0.25">
      <c r="A11">
        <v>2012</v>
      </c>
      <c r="B11">
        <v>41.9</v>
      </c>
    </row>
    <row r="12" spans="1:2" x14ac:dyDescent="0.25">
      <c r="A12">
        <v>2013</v>
      </c>
      <c r="B12">
        <v>31.6</v>
      </c>
    </row>
    <row r="13" spans="1:2" x14ac:dyDescent="0.25">
      <c r="A13">
        <v>2014</v>
      </c>
      <c r="B13">
        <v>25.6</v>
      </c>
    </row>
    <row r="14" spans="1:2" x14ac:dyDescent="0.25">
      <c r="A14">
        <v>2015</v>
      </c>
      <c r="B14">
        <v>29.9</v>
      </c>
    </row>
    <row r="15" spans="1:2" x14ac:dyDescent="0.25">
      <c r="A15">
        <v>2016</v>
      </c>
      <c r="B15">
        <v>28.6</v>
      </c>
    </row>
    <row r="16" spans="1:2" x14ac:dyDescent="0.25">
      <c r="A16">
        <v>2017</v>
      </c>
      <c r="B16">
        <v>35.9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CC51D-6D57-4191-A5E6-D7D0171A891B}">
  <dimension ref="A1:I2"/>
  <sheetViews>
    <sheetView workbookViewId="0">
      <selection activeCell="F13" sqref="F13"/>
    </sheetView>
  </sheetViews>
  <sheetFormatPr defaultRowHeight="15" x14ac:dyDescent="0.25"/>
  <cols>
    <col min="2" max="2" width="20" customWidth="1"/>
    <col min="3" max="3" width="22.140625" customWidth="1"/>
    <col min="4" max="4" width="22.7109375" customWidth="1"/>
    <col min="5" max="5" width="19" customWidth="1"/>
    <col min="6" max="6" width="20.5703125" customWidth="1"/>
    <col min="7" max="7" width="22.42578125" customWidth="1"/>
    <col min="8" max="8" width="23.5703125" customWidth="1"/>
    <col min="9" max="9" width="17.42578125" customWidth="1"/>
  </cols>
  <sheetData>
    <row r="1" spans="1:9" x14ac:dyDescent="0.25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</row>
    <row r="2" spans="1:9" x14ac:dyDescent="0.25">
      <c r="A2">
        <v>2020</v>
      </c>
      <c r="B2">
        <v>358.3</v>
      </c>
      <c r="C2">
        <v>1219</v>
      </c>
      <c r="D2">
        <v>2097.5</v>
      </c>
      <c r="E2">
        <v>1972.7</v>
      </c>
      <c r="F2">
        <v>1933.7</v>
      </c>
      <c r="G2">
        <v>1939.8</v>
      </c>
      <c r="H2">
        <v>1702.9</v>
      </c>
      <c r="I2">
        <v>1576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23516-FA5B-47F7-A03E-F96A2011B8A0}">
  <dimension ref="A1:O14"/>
  <sheetViews>
    <sheetView zoomScale="90" zoomScaleNormal="90" workbookViewId="0">
      <selection activeCell="Q23" sqref="Q23"/>
    </sheetView>
  </sheetViews>
  <sheetFormatPr defaultRowHeight="15" x14ac:dyDescent="0.25"/>
  <cols>
    <col min="14" max="14" width="12.42578125" customWidth="1"/>
    <col min="15" max="15" width="19.85546875" customWidth="1"/>
    <col min="16" max="16" width="16.140625" customWidth="1"/>
  </cols>
  <sheetData>
    <row r="1" spans="1:15" x14ac:dyDescent="0.2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21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22</v>
      </c>
    </row>
    <row r="2" spans="1:15" x14ac:dyDescent="0.25">
      <c r="A2">
        <v>2001</v>
      </c>
      <c r="B2">
        <v>20</v>
      </c>
      <c r="C2">
        <v>149</v>
      </c>
      <c r="D2">
        <v>255</v>
      </c>
      <c r="E2">
        <v>336</v>
      </c>
      <c r="F2">
        <v>328</v>
      </c>
      <c r="G2">
        <v>251</v>
      </c>
      <c r="H2">
        <v>210</v>
      </c>
      <c r="I2">
        <v>9.4</v>
      </c>
      <c r="J2">
        <v>30</v>
      </c>
      <c r="K2">
        <v>59.8</v>
      </c>
      <c r="L2">
        <v>61</v>
      </c>
      <c r="M2">
        <v>51.1</v>
      </c>
      <c r="N2">
        <v>50.2</v>
      </c>
      <c r="O2">
        <v>42.7</v>
      </c>
    </row>
    <row r="3" spans="1:15" x14ac:dyDescent="0.25">
      <c r="A3">
        <v>2002</v>
      </c>
      <c r="B3">
        <v>22</v>
      </c>
      <c r="C3">
        <v>297</v>
      </c>
      <c r="D3">
        <v>524</v>
      </c>
      <c r="E3">
        <v>535</v>
      </c>
      <c r="F3">
        <v>597</v>
      </c>
      <c r="G3">
        <v>390</v>
      </c>
      <c r="H3">
        <v>312</v>
      </c>
      <c r="I3">
        <v>10.5</v>
      </c>
      <c r="J3">
        <v>58.6</v>
      </c>
      <c r="K3">
        <v>122.8</v>
      </c>
      <c r="L3">
        <v>96.7</v>
      </c>
      <c r="M3">
        <v>92.8</v>
      </c>
      <c r="N3">
        <v>75.2</v>
      </c>
      <c r="O3">
        <v>60</v>
      </c>
    </row>
    <row r="4" spans="1:15" x14ac:dyDescent="0.25">
      <c r="A4">
        <v>2003</v>
      </c>
      <c r="B4">
        <v>48</v>
      </c>
      <c r="C4">
        <v>417</v>
      </c>
      <c r="D4">
        <v>858</v>
      </c>
      <c r="E4">
        <v>1102</v>
      </c>
      <c r="F4">
        <v>974</v>
      </c>
      <c r="G4">
        <v>619</v>
      </c>
      <c r="H4">
        <v>524</v>
      </c>
      <c r="I4">
        <v>22.3</v>
      </c>
      <c r="J4">
        <v>77.7</v>
      </c>
      <c r="K4">
        <v>138.4</v>
      </c>
      <c r="L4">
        <v>128.1</v>
      </c>
      <c r="M4">
        <v>126.5</v>
      </c>
      <c r="N4">
        <v>106.9</v>
      </c>
      <c r="O4">
        <v>86.7</v>
      </c>
    </row>
    <row r="5" spans="1:15" x14ac:dyDescent="0.25">
      <c r="A5">
        <v>2004</v>
      </c>
      <c r="B5">
        <v>105</v>
      </c>
      <c r="C5">
        <v>1000</v>
      </c>
      <c r="D5">
        <v>2047</v>
      </c>
      <c r="E5">
        <v>2401</v>
      </c>
      <c r="F5">
        <v>1863</v>
      </c>
      <c r="G5">
        <v>1027</v>
      </c>
      <c r="H5">
        <v>854</v>
      </c>
      <c r="I5">
        <v>49.9</v>
      </c>
      <c r="J5">
        <v>189.1</v>
      </c>
      <c r="K5">
        <v>322.60000000000002</v>
      </c>
      <c r="L5">
        <v>279.8</v>
      </c>
      <c r="M5">
        <v>241.7</v>
      </c>
      <c r="N5">
        <v>171.5</v>
      </c>
      <c r="O5">
        <v>133.69999999999999</v>
      </c>
    </row>
    <row r="6" spans="1:15" x14ac:dyDescent="0.25">
      <c r="A6">
        <v>2005</v>
      </c>
      <c r="B6">
        <v>184</v>
      </c>
      <c r="C6">
        <v>1749</v>
      </c>
      <c r="D6">
        <v>3078</v>
      </c>
      <c r="E6">
        <v>3253</v>
      </c>
      <c r="F6">
        <v>2762</v>
      </c>
      <c r="G6">
        <v>1587</v>
      </c>
      <c r="H6">
        <v>1419</v>
      </c>
      <c r="I6">
        <v>88.4</v>
      </c>
      <c r="J6">
        <v>329.8</v>
      </c>
      <c r="K6">
        <v>469.6</v>
      </c>
      <c r="L6">
        <v>369.9</v>
      </c>
      <c r="M6">
        <v>353.2</v>
      </c>
      <c r="N6">
        <v>256.5</v>
      </c>
      <c r="O6">
        <v>209.5</v>
      </c>
    </row>
    <row r="7" spans="1:15" x14ac:dyDescent="0.25">
      <c r="A7">
        <v>2006</v>
      </c>
      <c r="B7">
        <v>38</v>
      </c>
      <c r="C7">
        <v>227</v>
      </c>
      <c r="D7">
        <v>459</v>
      </c>
      <c r="E7">
        <v>606</v>
      </c>
      <c r="F7">
        <v>533</v>
      </c>
      <c r="G7">
        <v>333</v>
      </c>
      <c r="H7">
        <v>648</v>
      </c>
      <c r="I7">
        <v>18.100000000000001</v>
      </c>
      <c r="J7">
        <v>42.7</v>
      </c>
      <c r="K7">
        <v>67</v>
      </c>
      <c r="L7">
        <v>66.599999999999994</v>
      </c>
      <c r="M7">
        <v>66.8</v>
      </c>
      <c r="N7">
        <v>52</v>
      </c>
      <c r="O7">
        <v>91.3</v>
      </c>
    </row>
    <row r="8" spans="1:15" x14ac:dyDescent="0.25">
      <c r="A8">
        <v>2007</v>
      </c>
      <c r="B8">
        <v>100</v>
      </c>
      <c r="C8">
        <v>530</v>
      </c>
      <c r="D8">
        <v>1270</v>
      </c>
      <c r="E8">
        <v>1802</v>
      </c>
      <c r="F8">
        <v>1777</v>
      </c>
      <c r="G8">
        <v>1134</v>
      </c>
      <c r="H8">
        <v>1674</v>
      </c>
      <c r="I8">
        <v>48</v>
      </c>
      <c r="J8">
        <v>102.6</v>
      </c>
      <c r="K8">
        <v>176.7</v>
      </c>
      <c r="L8">
        <v>188.8</v>
      </c>
      <c r="M8">
        <v>219.7</v>
      </c>
      <c r="N8">
        <v>174.4</v>
      </c>
      <c r="O8">
        <v>228.9</v>
      </c>
    </row>
    <row r="9" spans="1:15" x14ac:dyDescent="0.25">
      <c r="A9">
        <v>2008</v>
      </c>
      <c r="B9">
        <v>92</v>
      </c>
      <c r="C9">
        <v>393</v>
      </c>
      <c r="D9">
        <v>1139</v>
      </c>
      <c r="E9">
        <v>1588</v>
      </c>
      <c r="F9">
        <v>1397</v>
      </c>
      <c r="G9">
        <v>809</v>
      </c>
      <c r="H9">
        <v>1213</v>
      </c>
      <c r="I9">
        <v>43.6</v>
      </c>
      <c r="J9">
        <v>76.8</v>
      </c>
      <c r="K9">
        <v>145.69999999999999</v>
      </c>
      <c r="L9">
        <v>152.80000000000001</v>
      </c>
      <c r="M9">
        <v>164.4</v>
      </c>
      <c r="N9">
        <v>120.4</v>
      </c>
      <c r="O9">
        <v>156.9</v>
      </c>
    </row>
    <row r="10" spans="1:15" x14ac:dyDescent="0.25">
      <c r="A10">
        <v>2009</v>
      </c>
      <c r="B10">
        <v>49</v>
      </c>
      <c r="C10">
        <v>218</v>
      </c>
      <c r="D10">
        <v>778</v>
      </c>
      <c r="E10">
        <v>979</v>
      </c>
      <c r="F10">
        <v>807</v>
      </c>
      <c r="G10">
        <v>534</v>
      </c>
      <c r="H10">
        <v>822</v>
      </c>
      <c r="I10">
        <v>22.6</v>
      </c>
      <c r="J10">
        <v>43.1</v>
      </c>
      <c r="K10">
        <v>97.9</v>
      </c>
      <c r="L10">
        <v>90.6</v>
      </c>
      <c r="M10">
        <v>91.8</v>
      </c>
      <c r="N10">
        <v>77.099999999999994</v>
      </c>
      <c r="O10">
        <v>100.5</v>
      </c>
    </row>
    <row r="11" spans="1:15" x14ac:dyDescent="0.25">
      <c r="A11">
        <v>2010</v>
      </c>
      <c r="B11">
        <v>64</v>
      </c>
      <c r="C11">
        <v>322</v>
      </c>
      <c r="D11">
        <v>835</v>
      </c>
      <c r="E11">
        <v>1175</v>
      </c>
      <c r="F11">
        <v>1186</v>
      </c>
      <c r="G11">
        <v>663</v>
      </c>
      <c r="H11">
        <v>733</v>
      </c>
      <c r="I11">
        <v>29.5</v>
      </c>
      <c r="J11">
        <v>64.7</v>
      </c>
      <c r="K11">
        <v>105.5</v>
      </c>
      <c r="L11">
        <v>105.6</v>
      </c>
      <c r="M11">
        <v>132.80000000000001</v>
      </c>
      <c r="N11">
        <v>94</v>
      </c>
      <c r="O11">
        <v>85.3</v>
      </c>
    </row>
    <row r="12" spans="1:15" x14ac:dyDescent="0.25">
      <c r="A12">
        <v>2011</v>
      </c>
      <c r="B12">
        <v>70</v>
      </c>
      <c r="C12">
        <v>325</v>
      </c>
      <c r="D12">
        <v>839</v>
      </c>
      <c r="E12">
        <v>1153</v>
      </c>
      <c r="F12">
        <v>1019</v>
      </c>
      <c r="G12">
        <v>739</v>
      </c>
      <c r="H12">
        <v>954</v>
      </c>
      <c r="I12">
        <v>32</v>
      </c>
      <c r="J12">
        <v>66.2</v>
      </c>
      <c r="K12">
        <v>105.9</v>
      </c>
      <c r="L12">
        <v>100.3</v>
      </c>
      <c r="M12">
        <v>112.3</v>
      </c>
      <c r="N12">
        <v>102.7</v>
      </c>
      <c r="O12">
        <v>105.4</v>
      </c>
    </row>
    <row r="13" spans="1:15" x14ac:dyDescent="0.25">
      <c r="A13">
        <v>2012</v>
      </c>
      <c r="B13">
        <v>38</v>
      </c>
      <c r="C13">
        <v>208</v>
      </c>
      <c r="D13">
        <v>723</v>
      </c>
      <c r="E13">
        <v>1091</v>
      </c>
      <c r="F13">
        <v>913</v>
      </c>
      <c r="G13">
        <v>563</v>
      </c>
      <c r="H13">
        <v>833</v>
      </c>
      <c r="I13">
        <v>17</v>
      </c>
      <c r="J13">
        <v>42.8</v>
      </c>
      <c r="K13">
        <v>91</v>
      </c>
      <c r="L13">
        <v>91.7</v>
      </c>
      <c r="M13">
        <v>97.5</v>
      </c>
      <c r="N13">
        <v>77.3</v>
      </c>
      <c r="O13">
        <v>87.2</v>
      </c>
    </row>
    <row r="14" spans="1:15" x14ac:dyDescent="0.25">
      <c r="A14">
        <v>2013</v>
      </c>
      <c r="B14">
        <v>157</v>
      </c>
      <c r="C14">
        <v>1257</v>
      </c>
      <c r="D14">
        <v>4118</v>
      </c>
      <c r="E14">
        <v>5907</v>
      </c>
      <c r="F14">
        <v>4552</v>
      </c>
      <c r="G14">
        <v>2889</v>
      </c>
      <c r="H14">
        <v>2983</v>
      </c>
      <c r="I14">
        <v>70.099999999999994</v>
      </c>
      <c r="J14">
        <v>262</v>
      </c>
      <c r="K14">
        <v>527.20000000000005</v>
      </c>
      <c r="L14">
        <v>483.8</v>
      </c>
      <c r="M14">
        <v>476.4</v>
      </c>
      <c r="N14">
        <v>392.2</v>
      </c>
      <c r="O14">
        <v>297.89999999999998</v>
      </c>
    </row>
  </sheetData>
  <sortState xmlns:xlrd2="http://schemas.microsoft.com/office/spreadsheetml/2017/richdata2" ref="A2:O14">
    <sortCondition ref="A2:A14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9429-3425-474D-8155-6616DA1656FE}">
  <dimension ref="A1:E54"/>
  <sheetViews>
    <sheetView zoomScale="120" zoomScaleNormal="120" workbookViewId="0">
      <selection activeCell="C1" sqref="C1"/>
    </sheetView>
  </sheetViews>
  <sheetFormatPr defaultRowHeight="15" x14ac:dyDescent="0.25"/>
  <cols>
    <col min="2" max="2" width="36.85546875" customWidth="1"/>
  </cols>
  <sheetData>
    <row r="1" spans="1:5" x14ac:dyDescent="0.25">
      <c r="A1" t="s">
        <v>0</v>
      </c>
      <c r="B1" t="s">
        <v>23</v>
      </c>
    </row>
    <row r="2" spans="1:5" x14ac:dyDescent="0.25">
      <c r="A2">
        <v>1974</v>
      </c>
      <c r="B2">
        <v>9.76</v>
      </c>
    </row>
    <row r="3" spans="1:5" x14ac:dyDescent="0.25">
      <c r="A3">
        <v>1975</v>
      </c>
      <c r="B3">
        <v>1.62</v>
      </c>
    </row>
    <row r="4" spans="1:5" x14ac:dyDescent="0.25">
      <c r="A4">
        <v>1976</v>
      </c>
      <c r="B4">
        <v>1.63</v>
      </c>
      <c r="E4" s="2"/>
    </row>
    <row r="5" spans="1:5" x14ac:dyDescent="0.25">
      <c r="A5">
        <v>1977</v>
      </c>
      <c r="B5">
        <v>3.25</v>
      </c>
      <c r="E5" s="2"/>
    </row>
    <row r="6" spans="1:5" x14ac:dyDescent="0.25">
      <c r="A6">
        <v>1978</v>
      </c>
      <c r="B6">
        <v>14.64</v>
      </c>
      <c r="E6" s="2"/>
    </row>
    <row r="7" spans="1:5" x14ac:dyDescent="0.25">
      <c r="A7">
        <v>1979</v>
      </c>
      <c r="B7">
        <v>6.5</v>
      </c>
      <c r="E7" s="2"/>
    </row>
    <row r="8" spans="1:5" x14ac:dyDescent="0.25">
      <c r="A8">
        <v>1980</v>
      </c>
      <c r="B8">
        <v>4.87</v>
      </c>
      <c r="E8" s="2"/>
    </row>
    <row r="9" spans="1:5" x14ac:dyDescent="0.25">
      <c r="A9">
        <v>1981</v>
      </c>
      <c r="B9">
        <v>4.88</v>
      </c>
      <c r="E9" s="2"/>
    </row>
    <row r="10" spans="1:5" x14ac:dyDescent="0.25">
      <c r="A10">
        <v>1982</v>
      </c>
      <c r="B10">
        <v>8.1300000000000008</v>
      </c>
      <c r="E10" s="2"/>
    </row>
    <row r="11" spans="1:5" x14ac:dyDescent="0.25">
      <c r="A11">
        <v>1983</v>
      </c>
      <c r="B11">
        <v>6.51</v>
      </c>
      <c r="E11" s="2"/>
    </row>
    <row r="12" spans="1:5" x14ac:dyDescent="0.25">
      <c r="A12">
        <v>1984</v>
      </c>
      <c r="B12">
        <v>1.62</v>
      </c>
      <c r="E12" s="2"/>
    </row>
    <row r="13" spans="1:5" x14ac:dyDescent="0.25">
      <c r="A13">
        <v>1985</v>
      </c>
      <c r="B13">
        <v>4.88</v>
      </c>
      <c r="E13" s="2"/>
    </row>
    <row r="14" spans="1:5" x14ac:dyDescent="0.25">
      <c r="A14">
        <v>1986</v>
      </c>
      <c r="B14">
        <v>13.01</v>
      </c>
      <c r="E14" s="2"/>
    </row>
    <row r="15" spans="1:5" x14ac:dyDescent="0.25">
      <c r="A15">
        <v>1987</v>
      </c>
      <c r="B15">
        <v>17.89</v>
      </c>
      <c r="E15" s="2"/>
    </row>
    <row r="16" spans="1:5" x14ac:dyDescent="0.25">
      <c r="A16">
        <v>1988</v>
      </c>
      <c r="B16">
        <v>8.1300000000000008</v>
      </c>
      <c r="E16" s="2"/>
    </row>
    <row r="17" spans="1:5" x14ac:dyDescent="0.25">
      <c r="A17">
        <v>1989</v>
      </c>
      <c r="B17">
        <v>26.03</v>
      </c>
      <c r="E17" s="2"/>
    </row>
    <row r="18" spans="1:5" x14ac:dyDescent="0.25">
      <c r="A18">
        <v>1990</v>
      </c>
      <c r="B18">
        <v>53.68</v>
      </c>
      <c r="E18" s="2"/>
    </row>
    <row r="19" spans="1:5" x14ac:dyDescent="0.25">
      <c r="A19">
        <v>1991</v>
      </c>
      <c r="B19">
        <v>65.069999999999993</v>
      </c>
      <c r="E19" s="2"/>
    </row>
    <row r="20" spans="1:5" x14ac:dyDescent="0.25">
      <c r="A20">
        <v>1992</v>
      </c>
      <c r="B20">
        <v>86.22</v>
      </c>
      <c r="E20" s="2"/>
    </row>
    <row r="21" spans="1:5" x14ac:dyDescent="0.25">
      <c r="A21">
        <v>1993</v>
      </c>
      <c r="B21">
        <v>27.654</v>
      </c>
      <c r="E21" s="2"/>
    </row>
    <row r="22" spans="1:5" x14ac:dyDescent="0.25">
      <c r="A22">
        <v>1994</v>
      </c>
      <c r="B22">
        <v>34.159999999999997</v>
      </c>
      <c r="E22" s="2"/>
    </row>
    <row r="23" spans="1:5" x14ac:dyDescent="0.25">
      <c r="A23">
        <v>1995</v>
      </c>
      <c r="B23">
        <v>50.43</v>
      </c>
      <c r="E23" s="2"/>
    </row>
    <row r="24" spans="1:5" x14ac:dyDescent="0.25">
      <c r="A24">
        <v>1996</v>
      </c>
      <c r="B24">
        <v>78.09</v>
      </c>
      <c r="E24" s="2"/>
    </row>
    <row r="25" spans="1:5" x14ac:dyDescent="0.25">
      <c r="A25">
        <v>1997</v>
      </c>
      <c r="B25">
        <v>95.98</v>
      </c>
      <c r="E25" s="2"/>
    </row>
    <row r="26" spans="1:5" x14ac:dyDescent="0.25">
      <c r="A26">
        <v>1998</v>
      </c>
      <c r="B26">
        <v>130.15</v>
      </c>
      <c r="E26" s="2"/>
    </row>
    <row r="27" spans="1:5" x14ac:dyDescent="0.25">
      <c r="A27">
        <v>1999</v>
      </c>
      <c r="B27">
        <v>32.53</v>
      </c>
      <c r="E27" s="2"/>
    </row>
    <row r="28" spans="1:5" x14ac:dyDescent="0.25">
      <c r="A28">
        <v>2000</v>
      </c>
      <c r="B28">
        <v>17.89</v>
      </c>
      <c r="E28" s="2"/>
    </row>
    <row r="29" spans="1:5" x14ac:dyDescent="0.25">
      <c r="A29">
        <v>2001</v>
      </c>
      <c r="B29">
        <v>48.8</v>
      </c>
      <c r="E29" s="2"/>
    </row>
    <row r="30" spans="1:5" x14ac:dyDescent="0.25">
      <c r="A30">
        <v>2002</v>
      </c>
      <c r="B30">
        <v>82.97</v>
      </c>
      <c r="E30" s="2"/>
    </row>
    <row r="31" spans="1:5" x14ac:dyDescent="0.25">
      <c r="A31">
        <v>2003</v>
      </c>
      <c r="B31">
        <v>113.88</v>
      </c>
      <c r="E31" s="2"/>
    </row>
    <row r="32" spans="1:5" x14ac:dyDescent="0.25">
      <c r="A32">
        <v>2004</v>
      </c>
      <c r="B32">
        <v>322.12</v>
      </c>
      <c r="E32" s="2"/>
    </row>
    <row r="33" spans="1:5" x14ac:dyDescent="0.25">
      <c r="A33">
        <v>2005</v>
      </c>
      <c r="B33">
        <v>170.82</v>
      </c>
      <c r="E33" s="2"/>
    </row>
    <row r="34" spans="1:5" x14ac:dyDescent="0.25">
      <c r="A34">
        <v>2006</v>
      </c>
      <c r="B34">
        <v>68.319999999999993</v>
      </c>
      <c r="E34" s="2"/>
    </row>
    <row r="35" spans="1:5" x14ac:dyDescent="0.25">
      <c r="A35">
        <v>2007</v>
      </c>
      <c r="B35">
        <v>177.33</v>
      </c>
      <c r="E35" s="2"/>
    </row>
    <row r="36" spans="1:5" x14ac:dyDescent="0.25">
      <c r="A36">
        <v>2008</v>
      </c>
      <c r="B36">
        <v>139.91</v>
      </c>
      <c r="E36" s="2"/>
    </row>
    <row r="37" spans="1:5" x14ac:dyDescent="0.25">
      <c r="A37">
        <v>2009</v>
      </c>
      <c r="B37">
        <v>78.09</v>
      </c>
      <c r="E37" s="2"/>
    </row>
    <row r="38" spans="1:5" x14ac:dyDescent="0.25">
      <c r="A38">
        <v>2010</v>
      </c>
      <c r="B38">
        <v>95.98</v>
      </c>
      <c r="E38" s="2"/>
    </row>
    <row r="39" spans="1:5" x14ac:dyDescent="0.25">
      <c r="A39">
        <v>2011</v>
      </c>
      <c r="B39">
        <v>99.24</v>
      </c>
      <c r="E39" s="2"/>
    </row>
    <row r="40" spans="1:5" x14ac:dyDescent="0.25">
      <c r="A40">
        <v>2012</v>
      </c>
      <c r="B40">
        <v>82.97</v>
      </c>
      <c r="E40" s="2"/>
    </row>
    <row r="41" spans="1:5" x14ac:dyDescent="0.25">
      <c r="A41">
        <v>2013</v>
      </c>
      <c r="B41">
        <v>398.59</v>
      </c>
      <c r="E41" s="2"/>
    </row>
    <row r="42" spans="1:5" x14ac:dyDescent="0.25">
      <c r="A42">
        <v>2014</v>
      </c>
      <c r="B42">
        <v>323.75</v>
      </c>
      <c r="E42" s="2"/>
    </row>
    <row r="43" spans="1:5" x14ac:dyDescent="0.25">
      <c r="A43">
        <v>2015</v>
      </c>
      <c r="B43">
        <v>196.65</v>
      </c>
      <c r="E43" s="2"/>
    </row>
    <row r="44" spans="1:5" x14ac:dyDescent="0.25">
      <c r="A44">
        <v>2016</v>
      </c>
      <c r="B44">
        <v>226.13</v>
      </c>
      <c r="E44" s="2"/>
    </row>
    <row r="45" spans="1:5" x14ac:dyDescent="0.25">
      <c r="A45">
        <v>2017</v>
      </c>
      <c r="B45">
        <v>50.43</v>
      </c>
      <c r="E45" s="2"/>
    </row>
    <row r="46" spans="1:5" x14ac:dyDescent="0.25">
      <c r="A46">
        <v>2018</v>
      </c>
      <c r="B46">
        <v>60.19</v>
      </c>
      <c r="E46" s="2"/>
    </row>
    <row r="47" spans="1:5" x14ac:dyDescent="0.25">
      <c r="A47">
        <v>2019</v>
      </c>
      <c r="B47">
        <v>378.73</v>
      </c>
      <c r="E47" s="2"/>
    </row>
    <row r="48" spans="1:5" x14ac:dyDescent="0.25">
      <c r="A48">
        <v>2020</v>
      </c>
      <c r="B48">
        <v>621.47</v>
      </c>
      <c r="E48" s="2"/>
    </row>
    <row r="49" spans="1:5" x14ac:dyDescent="0.25">
      <c r="A49">
        <v>2021</v>
      </c>
      <c r="B49">
        <v>100.87</v>
      </c>
      <c r="E49" s="2"/>
    </row>
    <row r="50" spans="1:5" x14ac:dyDescent="0.25">
      <c r="E50" s="2"/>
    </row>
    <row r="51" spans="1:5" x14ac:dyDescent="0.25">
      <c r="E51" s="2"/>
    </row>
    <row r="52" spans="1:5" x14ac:dyDescent="0.25">
      <c r="E52" s="2"/>
    </row>
    <row r="53" spans="1:5" x14ac:dyDescent="0.25">
      <c r="E53" s="2"/>
    </row>
    <row r="54" spans="1:5" x14ac:dyDescent="0.25">
      <c r="E54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F0C1-E424-4D14-9FCB-F93332C38D56}">
  <dimension ref="A1:B12"/>
  <sheetViews>
    <sheetView workbookViewId="0">
      <selection activeCell="B12" sqref="B12"/>
    </sheetView>
  </sheetViews>
  <sheetFormatPr defaultRowHeight="15" x14ac:dyDescent="0.25"/>
  <sheetData>
    <row r="1" spans="1:2" x14ac:dyDescent="0.25">
      <c r="A1" t="s">
        <v>0</v>
      </c>
      <c r="B1" t="s">
        <v>24</v>
      </c>
    </row>
    <row r="2" spans="1:2" x14ac:dyDescent="0.25">
      <c r="A2">
        <v>2010</v>
      </c>
      <c r="B2">
        <v>198</v>
      </c>
    </row>
    <row r="3" spans="1:2" x14ac:dyDescent="0.25">
      <c r="A3">
        <v>2011</v>
      </c>
      <c r="B3">
        <v>91</v>
      </c>
    </row>
    <row r="4" spans="1:2" x14ac:dyDescent="0.25">
      <c r="A4">
        <v>2012</v>
      </c>
      <c r="B4">
        <v>133</v>
      </c>
    </row>
    <row r="5" spans="1:2" x14ac:dyDescent="0.25">
      <c r="A5">
        <v>2013</v>
      </c>
      <c r="B5">
        <v>143</v>
      </c>
    </row>
    <row r="6" spans="1:2" x14ac:dyDescent="0.25">
      <c r="A6">
        <v>2014</v>
      </c>
      <c r="B6">
        <v>339</v>
      </c>
    </row>
    <row r="7" spans="1:2" x14ac:dyDescent="0.25">
      <c r="A7">
        <v>2015</v>
      </c>
      <c r="B7">
        <v>291</v>
      </c>
    </row>
    <row r="8" spans="1:2" x14ac:dyDescent="0.25">
      <c r="A8">
        <v>2016</v>
      </c>
      <c r="B8">
        <v>57</v>
      </c>
    </row>
    <row r="9" spans="1:2" x14ac:dyDescent="0.25">
      <c r="A9">
        <v>2017</v>
      </c>
      <c r="B9">
        <v>121</v>
      </c>
    </row>
    <row r="10" spans="1:2" x14ac:dyDescent="0.25">
      <c r="A10">
        <v>2018</v>
      </c>
      <c r="B10">
        <v>99</v>
      </c>
    </row>
    <row r="11" spans="1:2" x14ac:dyDescent="0.25">
      <c r="A11">
        <v>2019</v>
      </c>
      <c r="B11">
        <v>155</v>
      </c>
    </row>
    <row r="12" spans="1:2" x14ac:dyDescent="0.25">
      <c r="A12">
        <v>2020</v>
      </c>
      <c r="B12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sero_share</vt:lpstr>
      <vt:lpstr>age_case_2014_20</vt:lpstr>
      <vt:lpstr>age_hosp_frac_2003_17</vt:lpstr>
      <vt:lpstr>hosp_frac_2003_17year</vt:lpstr>
      <vt:lpstr>avg_age_inc_2014_20</vt:lpstr>
      <vt:lpstr>age_case_2001_13</vt:lpstr>
      <vt:lpstr>yearly_reported_cases</vt:lpstr>
      <vt:lpstr>imported_cases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Senapati</dc:creator>
  <cp:lastModifiedBy>Abhishek Senapati</cp:lastModifiedBy>
  <dcterms:created xsi:type="dcterms:W3CDTF">2024-01-10T08:41:10Z</dcterms:created>
  <dcterms:modified xsi:type="dcterms:W3CDTF">2025-02-18T03:49:07Z</dcterms:modified>
</cp:coreProperties>
</file>